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ster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<sst xmlns="http://schemas.openxmlformats.org/spreadsheetml/2006/main" count="24" uniqueCount="24">
  <si>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Customer Churn Clustering Summary (K-Means, K=4)</t>
  </si>
  <si>
    <t xml:space="preserve">Segmentation based on Tenure and Monthly Charges | Total customers: 6,741 | Overall churn rate: 26.57%</t>
  </si>
  <si>
    <t xml:space="preserve">Cluster</t>
  </si>
  <si>
    <t xml:space="preserve">Customers</t>
  </si>
  <si>
    <t xml:space="preserve">% of Base</t>
  </si>
  <si>
    <t xml:space="preserve">Avg Tenure (months)</t>
  </si>
  <si>
    <t xml:space="preserve">Avg Monthly Charges ($)</t>
  </si>
  <si>
    <t xml:space="preserve">Churn Rate</t>
  </si>
  <si>
    <t xml:space="preserve">Risk Level</t>
  </si>
  <si>
    <t xml:space="preserve">Cluster 0</t>
  </si>
  <si>
    <t xml:space="preserve">Low</t>
  </si>
  <si>
    <t xml:space="preserve">Cluster 1</t>
  </si>
  <si>
    <t xml:space="preserve">Medium</t>
  </si>
  <si>
    <t xml:space="preserve">Cluster 2</t>
  </si>
  <si>
    <t xml:space="preserve">Medium-High</t>
  </si>
  <si>
    <t xml:space="preserve">Cluster 3</t>
  </si>
  <si>
    <t xml:space="preserve">High</t>
  </si>
  <si>
    <t xml:space="preserve">Total</t>
  </si>
  <si>
    <t xml:space="preserve">Notes:</t>
  </si>
  <si>
    <t xml:space="preserve">- Source: Sangeeta's clustering analysis (Customer_Churn_Clustering_final.ipynb), K-Means with K=4, selected via Elbow Method and Silhouette Score (0.47).</t>
  </si>
  <si>
    <t xml:space="preserve">- Clustering features used: Tenure and MonthlyCharges only (Churn excluded from clustering inputs).</t>
  </si>
  <si>
    <t xml:space="preserve">- Cluster 3 (short tenure, high monthly charges) is the highest-risk segment: ~31.5% of customers with a 48.8% churn rate, nearly double the overall rate.</t>
  </si>
  <si>
    <t xml:space="preserve">- Cluster 0 (long tenure, low monthly charges) is the lowest-risk segment at 4.9% churn.</t>
  </si>
  <si>
    <t xml:space="preserve">- This is a correlational segmentation, not causal — recommend cross-referencing with contract type and service usage for the Final Report.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</si>
</sst>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C6E0B4"/>
        <bgColor rgb="FFD9E1F2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v>1118</v>
      </c>
      <c r="C5" s="5" t="n">
        <f aca="false">B5/$B$9</f>
        <v>0.165850763981605</v>
      </c>
      <c r="D5" s="6" t="n">
        <v>54</v>
      </c>
      <c r="E5" s="7" t="n">
        <v>34.54</v>
      </c>
      <c r="F5" s="5" t="n">
        <v>0.049</v>
      </c>
      <c r="G5" s="8" t="s">
        <v>10</v>
      </c>
    </row>
    <row r="6" customFormat="false" ht="15" hidden="false" customHeight="false" outlineLevel="0" collapsed="false">
      <c r="A6" s="4" t="s">
        <v>11</v>
      </c>
      <c r="B6" s="4" t="n">
        <v>1914</v>
      </c>
      <c r="C6" s="5" t="n">
        <f aca="false">B6/$B$9</f>
        <v>0.283934134401424</v>
      </c>
      <c r="D6" s="6" t="n">
        <v>58.6</v>
      </c>
      <c r="E6" s="7" t="n">
        <v>93.03</v>
      </c>
      <c r="F6" s="5" t="n">
        <v>0.158</v>
      </c>
      <c r="G6" s="9" t="s">
        <v>12</v>
      </c>
    </row>
    <row r="7" customFormat="false" ht="15" hidden="false" customHeight="false" outlineLevel="0" collapsed="false">
      <c r="A7" s="4" t="s">
        <v>13</v>
      </c>
      <c r="B7" s="4" t="n">
        <v>1584</v>
      </c>
      <c r="C7" s="5" t="n">
        <f aca="false">B7/$B$9</f>
        <v>0.23497997329773</v>
      </c>
      <c r="D7" s="6" t="n">
        <v>11.2</v>
      </c>
      <c r="E7" s="7" t="n">
        <v>33.84</v>
      </c>
      <c r="F7" s="5" t="n">
        <v>0.25</v>
      </c>
      <c r="G7" s="10" t="s">
        <v>14</v>
      </c>
    </row>
    <row r="8" customFormat="false" ht="15" hidden="false" customHeight="false" outlineLevel="0" collapsed="false">
      <c r="A8" s="4" t="s">
        <v>15</v>
      </c>
      <c r="B8" s="4" t="n">
        <v>2125</v>
      </c>
      <c r="C8" s="5" t="n">
        <f aca="false">B8/$B$9</f>
        <v>0.31523512831924</v>
      </c>
      <c r="D8" s="6" t="n">
        <v>15</v>
      </c>
      <c r="E8" s="7" t="n">
        <v>81.68</v>
      </c>
      <c r="F8" s="5" t="n">
        <v>0.488</v>
      </c>
      <c r="G8" s="11" t="s">
        <v>16</v>
      </c>
    </row>
    <row r="9" customFormat="false" ht="15" hidden="false" customHeight="false" outlineLevel="0" collapsed="false">
      <c r="A9" s="12" t="s">
        <v>17</v>
      </c>
      <c r="B9" s="12" t="n">
        <f aca="false">SUM(B5:B8)</f>
        <v>6741</v>
      </c>
      <c r="C9" s="13" t="n">
        <f aca="false">SUM(C5:C8)</f>
        <v>1</v>
      </c>
      <c r="D9" s="14" t="n">
        <f aca="false">SUMPRODUCT(B5:B8,D5:D8)/B9</f>
        <v>32.9547841566533</v>
      </c>
      <c r="E9" s="15" t="n">
        <f aca="false">SUMPRODUCT(B5:B8,E5:E8)/B9</f>
        <v>65.8430054887999</v>
      </c>
      <c r="F9" s="13" t="n">
        <f aca="false">SUMPRODUCT(B5:B8,F5:F8)/B9</f>
        <v>0.265568016614746</v>
      </c>
    </row>
    <row r="11" customFormat="false" ht="15" hidden="false" customHeight="false" outlineLevel="0" collapsed="false">
      <c r="A11" s="16" t="s">
        <v>18</v>
      </c>
    </row>
    <row r="12" customFormat="false" ht="15" hidden="false" customHeight="false" outlineLevel="0" collapsed="false">
      <c r="A12" s="17" t="s">
        <v>19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17" t="s">
        <v>20</v>
      </c>
      <c r="B13" s="17"/>
      <c r="C13" s="17"/>
      <c r="D13" s="17"/>
      <c r="E13" s="17"/>
      <c r="F13" s="17"/>
      <c r="G13" s="17"/>
    </row>
    <row r="14" customFormat="false" ht="15" hidden="false" customHeight="false" outlineLevel="0" collapsed="false">
      <c r="A14" s="17" t="s">
        <v>21</v>
      </c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17" t="s">
        <v>22</v>
      </c>
      <c r="B15" s="17"/>
      <c r="C15" s="17"/>
      <c r="D15" s="17"/>
      <c r="E15" s="17"/>
      <c r="F15" s="17"/>
      <c r="G15" s="17"/>
    </row>
    <row r="16" customFormat="false" ht="15" hidden="false" customHeight="false" outlineLevel="0" collapsed="false">
      <c r="A16" s="17" t="s">
        <v>23</v>
      </c>
      <c r="B16" s="17"/>
      <c r="C16" s="17"/>
      <c r="D16" s="17"/>
      <c r="E16" s="17"/>
      <c r="F16" s="17"/>
      <c r="G16" s="17"/>
    </row>
  </sheetData>
  <mergeCells count="7">
    <mergeCell ref="A1:F1"/>
    <mergeCell ref="A2:F2"/>
    <mergeCell ref="A12:G12"/>
    <mergeCell ref="A13:G13"/>
    <mergeCell ref="A14:G14"/>
    <mergeCell ref="A15:G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2026-10-17T05:57:26Z</dcterms:created>
  <dc:creator>openpyxl</dc:creator>
  <dc:description/>
  <dc:language>en-US</dc:language>
  <cp:lastModifiedBy/>
  <dcterms:modified xsi:type="dcterms:W3CDTF">2026-10-17T05:57:26Z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